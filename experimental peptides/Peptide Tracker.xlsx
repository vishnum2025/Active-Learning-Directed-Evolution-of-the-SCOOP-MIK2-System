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jing/Documents/Class/RESEARCH/"/>
    </mc:Choice>
  </mc:AlternateContent>
  <xr:revisionPtr revIDLastSave="0" documentId="13_ncr:1_{A4BD74DD-B456-E542-9AA2-9316729A02C8}" xr6:coauthVersionLast="47" xr6:coauthVersionMax="47" xr10:uidLastSave="{00000000-0000-0000-0000-000000000000}"/>
  <bookViews>
    <workbookView xWindow="0" yWindow="600" windowWidth="13520" windowHeight="16960" xr2:uid="{4D6FD790-793E-914A-82A3-6903D733F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L9" i="1"/>
  <c r="L10" i="1"/>
  <c r="K9" i="1"/>
  <c r="K10" i="1"/>
  <c r="K16" i="1"/>
  <c r="L16" i="1" s="1"/>
  <c r="I2" i="1"/>
  <c r="K2" i="1" s="1"/>
  <c r="L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K11" i="1" s="1"/>
  <c r="L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E3" i="1"/>
  <c r="F3" i="1" s="1"/>
  <c r="G3" i="1" s="1"/>
  <c r="E4" i="1"/>
  <c r="F4" i="1" s="1"/>
  <c r="G4" i="1" s="1"/>
  <c r="E5" i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/>
  <c r="G18" i="1" s="1"/>
  <c r="E2" i="1"/>
  <c r="F2" i="1" s="1"/>
  <c r="G2" i="1" s="1"/>
  <c r="D2" i="1"/>
  <c r="D3" i="1"/>
  <c r="D4" i="1"/>
  <c r="D5" i="1"/>
  <c r="D6" i="1"/>
  <c r="D7" i="1"/>
  <c r="D8" i="1"/>
  <c r="H8" i="1" s="1"/>
  <c r="D9" i="1"/>
  <c r="D10" i="1"/>
  <c r="D11" i="1"/>
  <c r="D12" i="1"/>
  <c r="D13" i="1"/>
  <c r="D14" i="1"/>
  <c r="D15" i="1"/>
  <c r="D16" i="1"/>
  <c r="H16" i="1" s="1"/>
  <c r="D17" i="1"/>
  <c r="D18" i="1"/>
  <c r="H7" i="1" l="1"/>
  <c r="K14" i="1"/>
  <c r="L14" i="1" s="1"/>
  <c r="H6" i="1"/>
  <c r="K7" i="1"/>
  <c r="L7" i="1" s="1"/>
  <c r="K18" i="1"/>
  <c r="L18" i="1" s="1"/>
  <c r="K6" i="1"/>
  <c r="L6" i="1" s="1"/>
  <c r="K15" i="1"/>
  <c r="L15" i="1" s="1"/>
  <c r="K17" i="1"/>
  <c r="L17" i="1" s="1"/>
  <c r="K8" i="1"/>
  <c r="L8" i="1" s="1"/>
  <c r="J2" i="1"/>
  <c r="J11" i="1"/>
  <c r="K13" i="1"/>
  <c r="L13" i="1" s="1"/>
  <c r="K5" i="1"/>
  <c r="L5" i="1" s="1"/>
  <c r="H10" i="1"/>
  <c r="K12" i="1"/>
  <c r="L12" i="1" s="1"/>
  <c r="K4" i="1"/>
  <c r="L4" i="1" s="1"/>
  <c r="H17" i="1"/>
  <c r="K3" i="1"/>
  <c r="L3" i="1" s="1"/>
  <c r="H5" i="1"/>
  <c r="H12" i="1"/>
  <c r="H4" i="1"/>
  <c r="H3" i="1"/>
  <c r="H11" i="1"/>
  <c r="H2" i="1"/>
  <c r="H14" i="1"/>
  <c r="H15" i="1"/>
  <c r="H13" i="1"/>
  <c r="H18" i="1"/>
  <c r="H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<sst xmlns="http://schemas.openxmlformats.org/spreadsheetml/2006/main" count="68" uniqueCount="55">
  <si>
    <t>Name</t>
  </si>
  <si>
    <t>Sequence</t>
  </si>
  <si>
    <t>RVGRSKSLRGPQK</t>
  </si>
  <si>
    <t>AVDHSYSTRNGQR</t>
  </si>
  <si>
    <t>AVDHSSSPRHGQR</t>
  </si>
  <si>
    <t>PVRGSHSSHLPVR</t>
  </si>
  <si>
    <t>GVDHSYSQRAGQR</t>
  </si>
  <si>
    <t>AVDHSVSARAGQR</t>
  </si>
  <si>
    <t>RVHRSSSKRGPQK</t>
  </si>
  <si>
    <t>AVDRSYSPRGGQR</t>
  </si>
  <si>
    <t>TVRSSRSQIHPQK</t>
  </si>
  <si>
    <t>YVQRSHSSHTGSR</t>
  </si>
  <si>
    <t>FTGPSYSGHGGAR</t>
  </si>
  <si>
    <t>HVRSSRSQIGIQK</t>
  </si>
  <si>
    <t>SCOOP10B</t>
  </si>
  <si>
    <t>DIFTGPSGSGHGGGR</t>
  </si>
  <si>
    <t>SCOOP12</t>
  </si>
  <si>
    <t>SGPVRSSQSSQAGGR</t>
  </si>
  <si>
    <t>STMP4</t>
  </si>
  <si>
    <t xml:space="preserve"> Molar Mass (g/mol)</t>
  </si>
  <si>
    <t>https://www.bachem.com/knowledge-center/peptide-calculator/</t>
  </si>
  <si>
    <t>g/ mol * mol/L  * L = g needed</t>
  </si>
  <si>
    <t>IVFTPPSSSCGGSP</t>
  </si>
  <si>
    <t>ALDE Peptide 1 - 0</t>
  </si>
  <si>
    <t>ALDE Peptide 1 - 1</t>
  </si>
  <si>
    <t>ALDE Peptide 2 - 0</t>
  </si>
  <si>
    <t>ALDE Peptide 2 - 1</t>
  </si>
  <si>
    <t>ALDE Peptide 2 - 2</t>
  </si>
  <si>
    <t>ALDE Peptide 2 - 3</t>
  </si>
  <si>
    <t>ALDE Peptide 2 - 4</t>
  </si>
  <si>
    <t>ALDE Peptide 2 - 5</t>
  </si>
  <si>
    <t>ALDE Peptide 2 - 6</t>
  </si>
  <si>
    <t>ALDE Peptide 2 - 7</t>
  </si>
  <si>
    <t>ALDE Peptide 2 - 8</t>
  </si>
  <si>
    <t>ALDE Peptide 2 - 9</t>
  </si>
  <si>
    <t>ALDE Peptide  2 - 10</t>
  </si>
  <si>
    <t>ALDE Peptide 2 - 11</t>
  </si>
  <si>
    <t xml:space="preserve">Family :) </t>
  </si>
  <si>
    <t>AVDHSYS-like</t>
  </si>
  <si>
    <t>RVGRSKS-like</t>
  </si>
  <si>
    <t>WT-like</t>
  </si>
  <si>
    <t>?</t>
  </si>
  <si>
    <t>Negative Control</t>
  </si>
  <si>
    <t>Positive Control</t>
  </si>
  <si>
    <t>POSITIVE positive control</t>
  </si>
  <si>
    <t>WT (plus an S)</t>
  </si>
  <si>
    <t>water for stock of peptide to 1mM concentration -- in uL? Calculation: (1 mg*(g/1000 mg)(mol/g))/(.001 mol/L desired)  -- then *1000000 for uL in 1 L</t>
  </si>
  <si>
    <t>for 1 uM in 40 mL, M1V1 = M2V2, uL of stock needed?</t>
  </si>
  <si>
    <t>for 100 nM in 40 mL, M1V1 = M2V2, uL of stock needed?</t>
  </si>
  <si>
    <t>for 10 nM in 40 mL, M1V1 = M2V2, uL of stock needed?</t>
  </si>
  <si>
    <t>Total Left After  Root Length</t>
  </si>
  <si>
    <t xml:space="preserve">uL Needed for 1 ROS Burst (1 uM in 200 uL) </t>
  </si>
  <si>
    <t>5 reps per ROS burst</t>
  </si>
  <si>
    <t>uL Needed for 1 ROS burst (100 nM in 200 uL)</t>
  </si>
  <si>
    <t>Total Peptides (volume consumed) after plate making and ROS 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</si>
</sst>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entury Gothic"/>
      <family val="1"/>
    </font>
    <font>
      <sz val="11"/>
      <color theme="4" tint="0.3999755851924192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4" xfId="0" applyBorder="1"/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63AC-061C-EB4D-A1F8-03D1ABA0A84C}">
  <dimension ref="A1:P21"/>
  <sheetViews>
    <sheetView tabSelected="1" zoomScale="50" workbookViewId="0">
      <selection activeCell="B23" sqref="B23"/>
    </sheetView>
  </sheetViews>
  <sheetFormatPr baseColWidth="10" defaultRowHeight="16" x14ac:dyDescent="0.2"/>
  <cols>
    <col min="1" max="1" width="26.1640625" customWidth="1"/>
    <col min="2" max="2" width="19.83203125" customWidth="1"/>
    <col min="4" max="4" width="20.6640625" customWidth="1"/>
    <col min="5" max="13" width="13.5" customWidth="1"/>
    <col min="14" max="14" width="21.5" customWidth="1"/>
  </cols>
  <sheetData>
    <row r="1" spans="1:16" ht="119" customHeight="1" thickBot="1" x14ac:dyDescent="0.25">
      <c r="A1" s="2" t="s">
        <v>0</v>
      </c>
      <c r="B1" s="1" t="s">
        <v>1</v>
      </c>
      <c r="C1" s="1" t="s">
        <v>19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52</v>
      </c>
      <c r="M1" s="10" t="s">
        <v>54</v>
      </c>
      <c r="N1" s="6" t="s">
        <v>37</v>
      </c>
    </row>
    <row r="2" spans="1:16" ht="30" customHeight="1" thickBot="1" x14ac:dyDescent="0.25">
      <c r="A2" s="4" t="s">
        <v>25</v>
      </c>
      <c r="B2" s="3" t="s">
        <v>4</v>
      </c>
      <c r="C2" s="1">
        <v>1433.31</v>
      </c>
      <c r="D2" s="11">
        <f>((1/C2)*1*0.001/0.001) * 1000000</f>
        <v>697.68577628007904</v>
      </c>
      <c r="E2" s="11">
        <f>1000000*(10^-6)*0.04/(10^-3)</f>
        <v>40</v>
      </c>
      <c r="F2" s="11">
        <f>E2/10</f>
        <v>4</v>
      </c>
      <c r="G2" s="11">
        <f>F2/10</f>
        <v>0.4</v>
      </c>
      <c r="H2" s="11">
        <f>D2- SUM(E2,F2,G2)</f>
        <v>653.28577628007906</v>
      </c>
      <c r="I2" s="11">
        <f>(10^-6)*200/(0.001)</f>
        <v>0.19999999999999998</v>
      </c>
      <c r="J2" s="11">
        <f>I2*5</f>
        <v>0.99999999999999989</v>
      </c>
      <c r="K2" s="11">
        <f xml:space="preserve"> I2/10</f>
        <v>1.9999999999999997E-2</v>
      </c>
      <c r="L2" s="11">
        <f>K2*5</f>
        <v>9.9999999999999978E-2</v>
      </c>
      <c r="M2" s="11" cm="1">
        <f t="array" ref="M2:M18">H2:H18-J2:J18-L2:L18</f>
        <v>652.18577628007904</v>
      </c>
      <c r="N2" s="5" t="s">
        <v>38</v>
      </c>
    </row>
    <row r="3" spans="1:16" ht="30" customHeight="1" thickBot="1" x14ac:dyDescent="0.25">
      <c r="A3" s="2" t="s">
        <v>30</v>
      </c>
      <c r="B3" s="3" t="s">
        <v>7</v>
      </c>
      <c r="C3" s="1">
        <v>1353.46</v>
      </c>
      <c r="D3" s="11">
        <f t="shared" ref="D3:D18" si="0">((1/C3)*1*0.001/0.001) * 1000000</f>
        <v>738.84710298050913</v>
      </c>
      <c r="E3" s="11">
        <f t="shared" ref="E3:E18" si="1">1000000*(10^-6)*0.04/(10^-3)</f>
        <v>40</v>
      </c>
      <c r="F3" s="11">
        <f t="shared" ref="F3:G3" si="2">E3/10</f>
        <v>4</v>
      </c>
      <c r="G3" s="11">
        <f t="shared" si="2"/>
        <v>0.4</v>
      </c>
      <c r="H3" s="11">
        <f t="shared" ref="H3:H18" si="3">D3- SUM(E3,F3,G3)</f>
        <v>694.44710298050916</v>
      </c>
      <c r="I3" s="11">
        <f t="shared" ref="I3:I18" si="4">(10^-6)*200/(0.001)</f>
        <v>0.19999999999999998</v>
      </c>
      <c r="J3" s="11">
        <f t="shared" ref="J3:J18" si="5">I3*5</f>
        <v>0.99999999999999989</v>
      </c>
      <c r="K3" s="11">
        <f t="shared" ref="K3:K18" si="6" xml:space="preserve"> I3/10</f>
        <v>1.9999999999999997E-2</v>
      </c>
      <c r="L3" s="11">
        <f t="shared" ref="L3:L18" si="7">K3*5</f>
        <v>9.9999999999999978E-2</v>
      </c>
      <c r="M3" s="11">
        <v>693.34710298050913</v>
      </c>
      <c r="N3" s="5" t="s">
        <v>38</v>
      </c>
    </row>
    <row r="4" spans="1:16" ht="30" customHeight="1" thickBot="1" x14ac:dyDescent="0.25">
      <c r="A4" s="7" t="s">
        <v>24</v>
      </c>
      <c r="B4" s="8" t="s">
        <v>3</v>
      </c>
      <c r="C4" s="1">
        <v>1490.5360000000001</v>
      </c>
      <c r="D4" s="11">
        <f t="shared" si="0"/>
        <v>670.89959585008341</v>
      </c>
      <c r="E4" s="11">
        <f t="shared" si="1"/>
        <v>40</v>
      </c>
      <c r="F4" s="11">
        <f t="shared" ref="F4:G4" si="8">E4/10</f>
        <v>4</v>
      </c>
      <c r="G4" s="11">
        <f t="shared" si="8"/>
        <v>0.4</v>
      </c>
      <c r="H4" s="11">
        <f t="shared" si="3"/>
        <v>626.49959585008344</v>
      </c>
      <c r="I4" s="11">
        <f t="shared" si="4"/>
        <v>0.19999999999999998</v>
      </c>
      <c r="J4" s="11">
        <f t="shared" si="5"/>
        <v>0.99999999999999989</v>
      </c>
      <c r="K4" s="11">
        <f t="shared" si="6"/>
        <v>1.9999999999999997E-2</v>
      </c>
      <c r="L4" s="11">
        <f t="shared" si="7"/>
        <v>9.9999999999999978E-2</v>
      </c>
      <c r="M4" s="11">
        <v>625.39959585008341</v>
      </c>
      <c r="N4" s="5" t="s">
        <v>38</v>
      </c>
      <c r="P4" t="s">
        <v>21</v>
      </c>
    </row>
    <row r="5" spans="1:16" ht="30" customHeight="1" thickBot="1" x14ac:dyDescent="0.25">
      <c r="A5" s="9" t="s">
        <v>29</v>
      </c>
      <c r="B5" s="8" t="s">
        <v>3</v>
      </c>
      <c r="C5" s="1">
        <v>1490.63</v>
      </c>
      <c r="D5" s="11">
        <f t="shared" si="0"/>
        <v>670.85728852901116</v>
      </c>
      <c r="E5" s="11">
        <f t="shared" si="1"/>
        <v>40</v>
      </c>
      <c r="F5" s="11">
        <f t="shared" ref="F5:G5" si="9">E5/10</f>
        <v>4</v>
      </c>
      <c r="G5" s="11">
        <f t="shared" si="9"/>
        <v>0.4</v>
      </c>
      <c r="H5" s="11">
        <f t="shared" si="3"/>
        <v>626.45728852901118</v>
      </c>
      <c r="I5" s="11">
        <f t="shared" si="4"/>
        <v>0.19999999999999998</v>
      </c>
      <c r="J5" s="11">
        <f t="shared" si="5"/>
        <v>0.99999999999999989</v>
      </c>
      <c r="K5" s="11">
        <f t="shared" si="6"/>
        <v>1.9999999999999997E-2</v>
      </c>
      <c r="L5" s="11">
        <f t="shared" si="7"/>
        <v>9.9999999999999978E-2</v>
      </c>
      <c r="M5" s="11">
        <v>625.35728852901116</v>
      </c>
      <c r="N5" s="5" t="s">
        <v>38</v>
      </c>
    </row>
    <row r="6" spans="1:16" ht="30" customHeight="1" thickBot="1" x14ac:dyDescent="0.25">
      <c r="A6" s="2" t="s">
        <v>32</v>
      </c>
      <c r="B6" s="3" t="s">
        <v>9</v>
      </c>
      <c r="C6" s="1">
        <v>1448.56</v>
      </c>
      <c r="D6" s="11">
        <f t="shared" si="0"/>
        <v>690.34075219528359</v>
      </c>
      <c r="E6" s="11">
        <f t="shared" si="1"/>
        <v>40</v>
      </c>
      <c r="F6" s="11">
        <f t="shared" ref="F6:G6" si="10">E6/10</f>
        <v>4</v>
      </c>
      <c r="G6" s="11">
        <f t="shared" si="10"/>
        <v>0.4</v>
      </c>
      <c r="H6" s="11">
        <f t="shared" si="3"/>
        <v>645.94075219528361</v>
      </c>
      <c r="I6" s="11">
        <f t="shared" si="4"/>
        <v>0.19999999999999998</v>
      </c>
      <c r="J6" s="11">
        <f t="shared" si="5"/>
        <v>0.99999999999999989</v>
      </c>
      <c r="K6" s="11">
        <f t="shared" si="6"/>
        <v>1.9999999999999997E-2</v>
      </c>
      <c r="L6" s="11">
        <f t="shared" si="7"/>
        <v>9.9999999999999978E-2</v>
      </c>
      <c r="M6" s="11">
        <v>644.84075219528359</v>
      </c>
      <c r="N6" s="5" t="s">
        <v>38</v>
      </c>
    </row>
    <row r="7" spans="1:16" ht="30" customHeight="1" thickBot="1" x14ac:dyDescent="0.25">
      <c r="A7" s="4" t="s">
        <v>14</v>
      </c>
      <c r="B7" s="3" t="s">
        <v>15</v>
      </c>
      <c r="C7" s="1">
        <v>1401.4390000000001</v>
      </c>
      <c r="D7" s="11">
        <f t="shared" si="0"/>
        <v>713.55228447331638</v>
      </c>
      <c r="E7" s="11">
        <f t="shared" si="1"/>
        <v>40</v>
      </c>
      <c r="F7" s="11">
        <f t="shared" ref="F7:G7" si="11">E7/10</f>
        <v>4</v>
      </c>
      <c r="G7" s="11">
        <f t="shared" si="11"/>
        <v>0.4</v>
      </c>
      <c r="H7" s="11">
        <f t="shared" si="3"/>
        <v>669.1522844733164</v>
      </c>
      <c r="I7" s="11">
        <f t="shared" si="4"/>
        <v>0.19999999999999998</v>
      </c>
      <c r="J7" s="11">
        <f t="shared" si="5"/>
        <v>0.99999999999999989</v>
      </c>
      <c r="K7" s="11">
        <f t="shared" si="6"/>
        <v>1.9999999999999997E-2</v>
      </c>
      <c r="L7" s="11">
        <f t="shared" si="7"/>
        <v>9.9999999999999978E-2</v>
      </c>
      <c r="M7" s="11">
        <v>668.05228447331638</v>
      </c>
      <c r="N7" s="5"/>
      <c r="O7" t="s">
        <v>44</v>
      </c>
    </row>
    <row r="8" spans="1:16" ht="30" customHeight="1" thickBot="1" x14ac:dyDescent="0.25">
      <c r="A8" s="4" t="s">
        <v>35</v>
      </c>
      <c r="B8" s="3" t="s">
        <v>12</v>
      </c>
      <c r="C8" s="1">
        <v>1293.26</v>
      </c>
      <c r="D8" s="11">
        <f t="shared" si="0"/>
        <v>773.23971977792553</v>
      </c>
      <c r="E8" s="11">
        <f t="shared" si="1"/>
        <v>40</v>
      </c>
      <c r="F8" s="11">
        <f t="shared" ref="F8:G8" si="12">E8/10</f>
        <v>4</v>
      </c>
      <c r="G8" s="11">
        <f t="shared" si="12"/>
        <v>0.4</v>
      </c>
      <c r="H8" s="11">
        <f t="shared" si="3"/>
        <v>728.83971977792555</v>
      </c>
      <c r="I8" s="11">
        <f t="shared" si="4"/>
        <v>0.19999999999999998</v>
      </c>
      <c r="J8" s="11">
        <f t="shared" si="5"/>
        <v>0.99999999999999989</v>
      </c>
      <c r="K8" s="11">
        <f t="shared" si="6"/>
        <v>1.9999999999999997E-2</v>
      </c>
      <c r="L8" s="11">
        <f t="shared" si="7"/>
        <v>9.9999999999999978E-2</v>
      </c>
      <c r="M8" s="11">
        <v>727.73971977792553</v>
      </c>
      <c r="N8" s="5" t="s">
        <v>41</v>
      </c>
    </row>
    <row r="9" spans="1:16" ht="30" customHeight="1" thickBot="1" x14ac:dyDescent="0.25">
      <c r="A9" s="2" t="s">
        <v>28</v>
      </c>
      <c r="B9" s="3" t="s">
        <v>6</v>
      </c>
      <c r="C9" s="1">
        <v>1460.53</v>
      </c>
      <c r="D9" s="11">
        <f t="shared" si="0"/>
        <v>684.68295755650342</v>
      </c>
      <c r="E9" s="11">
        <f t="shared" si="1"/>
        <v>40</v>
      </c>
      <c r="F9" s="11">
        <f t="shared" ref="F9:G9" si="13">E9/10</f>
        <v>4</v>
      </c>
      <c r="G9" s="11">
        <f t="shared" si="13"/>
        <v>0.4</v>
      </c>
      <c r="H9" s="11">
        <f t="shared" si="3"/>
        <v>640.28295755650345</v>
      </c>
      <c r="I9" s="11">
        <f t="shared" si="4"/>
        <v>0.19999999999999998</v>
      </c>
      <c r="J9" s="11">
        <f t="shared" si="5"/>
        <v>0.99999999999999989</v>
      </c>
      <c r="K9" s="11">
        <f t="shared" si="6"/>
        <v>1.9999999999999997E-2</v>
      </c>
      <c r="L9" s="11">
        <f t="shared" si="7"/>
        <v>9.9999999999999978E-2</v>
      </c>
      <c r="M9" s="11">
        <v>639.18295755650342</v>
      </c>
      <c r="N9" s="5" t="s">
        <v>38</v>
      </c>
    </row>
    <row r="10" spans="1:16" ht="30" customHeight="1" thickBot="1" x14ac:dyDescent="0.25">
      <c r="A10" s="2" t="s">
        <v>36</v>
      </c>
      <c r="B10" s="3" t="s">
        <v>13</v>
      </c>
      <c r="C10" s="1">
        <v>1495.71</v>
      </c>
      <c r="D10" s="11">
        <f t="shared" si="0"/>
        <v>668.57880204050241</v>
      </c>
      <c r="E10" s="11">
        <f t="shared" si="1"/>
        <v>40</v>
      </c>
      <c r="F10" s="11">
        <f t="shared" ref="F10:G10" si="14">E10/10</f>
        <v>4</v>
      </c>
      <c r="G10" s="11">
        <f t="shared" si="14"/>
        <v>0.4</v>
      </c>
      <c r="H10" s="11">
        <f t="shared" si="3"/>
        <v>624.17880204050243</v>
      </c>
      <c r="I10" s="11">
        <f t="shared" si="4"/>
        <v>0.19999999999999998</v>
      </c>
      <c r="J10" s="11">
        <f t="shared" si="5"/>
        <v>0.99999999999999989</v>
      </c>
      <c r="K10" s="11">
        <f t="shared" si="6"/>
        <v>1.9999999999999997E-2</v>
      </c>
      <c r="L10" s="11">
        <f t="shared" si="7"/>
        <v>9.9999999999999978E-2</v>
      </c>
      <c r="M10" s="11">
        <v>623.07880204050241</v>
      </c>
      <c r="N10" s="5" t="s">
        <v>39</v>
      </c>
    </row>
    <row r="11" spans="1:16" ht="30" customHeight="1" thickBot="1" x14ac:dyDescent="0.25">
      <c r="A11" s="4" t="s">
        <v>18</v>
      </c>
      <c r="B11" s="3" t="s">
        <v>22</v>
      </c>
      <c r="C11" s="1">
        <v>1335.5</v>
      </c>
      <c r="D11" s="11">
        <f t="shared" si="0"/>
        <v>748.78322725570956</v>
      </c>
      <c r="E11" s="11">
        <f t="shared" si="1"/>
        <v>40</v>
      </c>
      <c r="F11" s="11">
        <f t="shared" ref="F11:G11" si="15">E11/10</f>
        <v>4</v>
      </c>
      <c r="G11" s="11">
        <f t="shared" si="15"/>
        <v>0.4</v>
      </c>
      <c r="H11" s="11">
        <f t="shared" si="3"/>
        <v>704.38322725570958</v>
      </c>
      <c r="I11" s="11">
        <f t="shared" si="4"/>
        <v>0.19999999999999998</v>
      </c>
      <c r="J11" s="11">
        <f t="shared" si="5"/>
        <v>0.99999999999999989</v>
      </c>
      <c r="K11" s="11">
        <f t="shared" si="6"/>
        <v>1.9999999999999997E-2</v>
      </c>
      <c r="L11" s="11">
        <f t="shared" si="7"/>
        <v>9.9999999999999978E-2</v>
      </c>
      <c r="M11" s="11">
        <v>703.28322725570956</v>
      </c>
      <c r="N11" s="5"/>
      <c r="O11" t="s">
        <v>42</v>
      </c>
    </row>
    <row r="12" spans="1:16" ht="30" customHeight="1" thickBot="1" x14ac:dyDescent="0.25">
      <c r="A12" s="2" t="s">
        <v>26</v>
      </c>
      <c r="B12" s="3" t="s">
        <v>5</v>
      </c>
      <c r="C12" s="1">
        <v>1428.61</v>
      </c>
      <c r="D12" s="11">
        <f t="shared" si="0"/>
        <v>699.9811005102863</v>
      </c>
      <c r="E12" s="11">
        <f t="shared" si="1"/>
        <v>40</v>
      </c>
      <c r="F12" s="11">
        <f t="shared" ref="F12:G12" si="16">E12/10</f>
        <v>4</v>
      </c>
      <c r="G12" s="11">
        <f t="shared" si="16"/>
        <v>0.4</v>
      </c>
      <c r="H12" s="11">
        <f t="shared" si="3"/>
        <v>655.58110051028632</v>
      </c>
      <c r="I12" s="11">
        <f t="shared" si="4"/>
        <v>0.19999999999999998</v>
      </c>
      <c r="J12" s="11">
        <f t="shared" si="5"/>
        <v>0.99999999999999989</v>
      </c>
      <c r="K12" s="11">
        <f t="shared" si="6"/>
        <v>1.9999999999999997E-2</v>
      </c>
      <c r="L12" s="11">
        <f t="shared" si="7"/>
        <v>9.9999999999999978E-2</v>
      </c>
      <c r="M12" s="11">
        <v>654.4811005102863</v>
      </c>
      <c r="N12" s="5" t="s">
        <v>40</v>
      </c>
    </row>
    <row r="13" spans="1:16" ht="30" customHeight="1" thickBot="1" x14ac:dyDescent="0.25">
      <c r="A13" s="9" t="s">
        <v>23</v>
      </c>
      <c r="B13" s="8" t="s">
        <v>2</v>
      </c>
      <c r="C13" s="1">
        <v>1468.7070000000001</v>
      </c>
      <c r="D13" s="11">
        <f t="shared" si="0"/>
        <v>680.87099741473287</v>
      </c>
      <c r="E13" s="11">
        <f t="shared" si="1"/>
        <v>40</v>
      </c>
      <c r="F13" s="11">
        <f t="shared" ref="F13:G13" si="17">E13/10</f>
        <v>4</v>
      </c>
      <c r="G13" s="11">
        <f t="shared" si="17"/>
        <v>0.4</v>
      </c>
      <c r="H13" s="11">
        <f t="shared" si="3"/>
        <v>636.47099741473289</v>
      </c>
      <c r="I13" s="11">
        <f t="shared" si="4"/>
        <v>0.19999999999999998</v>
      </c>
      <c r="J13" s="11">
        <f t="shared" si="5"/>
        <v>0.99999999999999989</v>
      </c>
      <c r="K13" s="11">
        <f t="shared" si="6"/>
        <v>1.9999999999999997E-2</v>
      </c>
      <c r="L13" s="11">
        <f t="shared" si="7"/>
        <v>9.9999999999999978E-2</v>
      </c>
      <c r="M13" s="11">
        <v>635.37099741473287</v>
      </c>
      <c r="N13" s="5" t="s">
        <v>39</v>
      </c>
    </row>
    <row r="14" spans="1:16" ht="30" customHeight="1" thickBot="1" x14ac:dyDescent="0.25">
      <c r="A14" s="9" t="s">
        <v>27</v>
      </c>
      <c r="B14" s="8" t="s">
        <v>2</v>
      </c>
      <c r="C14" s="1">
        <v>1468.73</v>
      </c>
      <c r="D14" s="11">
        <f t="shared" si="0"/>
        <v>680.86033511945698</v>
      </c>
      <c r="E14" s="11">
        <f t="shared" si="1"/>
        <v>40</v>
      </c>
      <c r="F14" s="11">
        <f t="shared" ref="F14:G14" si="18">E14/10</f>
        <v>4</v>
      </c>
      <c r="G14" s="11">
        <f t="shared" si="18"/>
        <v>0.4</v>
      </c>
      <c r="H14" s="11">
        <f t="shared" si="3"/>
        <v>636.460335119457</v>
      </c>
      <c r="I14" s="11">
        <f t="shared" si="4"/>
        <v>0.19999999999999998</v>
      </c>
      <c r="J14" s="11">
        <f t="shared" si="5"/>
        <v>0.99999999999999989</v>
      </c>
      <c r="K14" s="11">
        <f t="shared" si="6"/>
        <v>1.9999999999999997E-2</v>
      </c>
      <c r="L14" s="11">
        <f t="shared" si="7"/>
        <v>9.9999999999999978E-2</v>
      </c>
      <c r="M14" s="11">
        <v>635.36033511945698</v>
      </c>
      <c r="N14" s="5" t="s">
        <v>39</v>
      </c>
    </row>
    <row r="15" spans="1:16" ht="30" customHeight="1" thickBot="1" x14ac:dyDescent="0.25">
      <c r="A15" s="4" t="s">
        <v>31</v>
      </c>
      <c r="B15" s="3" t="s">
        <v>8</v>
      </c>
      <c r="C15" s="1">
        <v>1522.73</v>
      </c>
      <c r="D15" s="11">
        <f t="shared" si="0"/>
        <v>656.71524170404473</v>
      </c>
      <c r="E15" s="11">
        <f t="shared" si="1"/>
        <v>40</v>
      </c>
      <c r="F15" s="11">
        <f t="shared" ref="F15:G15" si="19">E15/10</f>
        <v>4</v>
      </c>
      <c r="G15" s="11">
        <f t="shared" si="19"/>
        <v>0.4</v>
      </c>
      <c r="H15" s="11">
        <f t="shared" si="3"/>
        <v>612.31524170404475</v>
      </c>
      <c r="I15" s="11">
        <f t="shared" si="4"/>
        <v>0.19999999999999998</v>
      </c>
      <c r="J15" s="11">
        <f t="shared" si="5"/>
        <v>0.99999999999999989</v>
      </c>
      <c r="K15" s="11">
        <f t="shared" si="6"/>
        <v>1.9999999999999997E-2</v>
      </c>
      <c r="L15" s="11">
        <f t="shared" si="7"/>
        <v>9.9999999999999978E-2</v>
      </c>
      <c r="M15" s="11">
        <v>611.21524170404473</v>
      </c>
      <c r="N15" s="5" t="s">
        <v>39</v>
      </c>
    </row>
    <row r="16" spans="1:16" ht="30" customHeight="1" thickBot="1" x14ac:dyDescent="0.25">
      <c r="A16" s="2" t="s">
        <v>16</v>
      </c>
      <c r="B16" s="3" t="s">
        <v>17</v>
      </c>
      <c r="C16" s="1">
        <v>1460.508</v>
      </c>
      <c r="D16" s="11">
        <f t="shared" si="0"/>
        <v>684.69327110840879</v>
      </c>
      <c r="E16" s="11">
        <f t="shared" si="1"/>
        <v>40</v>
      </c>
      <c r="F16" s="11">
        <f t="shared" ref="F16:G16" si="20">E16/10</f>
        <v>4</v>
      </c>
      <c r="G16" s="11">
        <f t="shared" si="20"/>
        <v>0.4</v>
      </c>
      <c r="H16" s="11">
        <f t="shared" si="3"/>
        <v>640.29327110840882</v>
      </c>
      <c r="I16" s="11">
        <f t="shared" si="4"/>
        <v>0.19999999999999998</v>
      </c>
      <c r="J16" s="11">
        <f t="shared" si="5"/>
        <v>0.99999999999999989</v>
      </c>
      <c r="K16" s="11">
        <f t="shared" si="6"/>
        <v>1.9999999999999997E-2</v>
      </c>
      <c r="L16" s="11">
        <f t="shared" si="7"/>
        <v>9.9999999999999978E-2</v>
      </c>
      <c r="M16" s="11">
        <v>639.19327110840879</v>
      </c>
      <c r="N16" s="5" t="s">
        <v>45</v>
      </c>
      <c r="O16" t="s">
        <v>43</v>
      </c>
    </row>
    <row r="17" spans="1:14" ht="30" customHeight="1" thickBot="1" x14ac:dyDescent="0.25">
      <c r="A17" s="4" t="s">
        <v>33</v>
      </c>
      <c r="B17" s="3" t="s">
        <v>10</v>
      </c>
      <c r="C17" s="1">
        <v>1523.72</v>
      </c>
      <c r="D17" s="11">
        <f t="shared" si="0"/>
        <v>656.28855695272091</v>
      </c>
      <c r="E17" s="11">
        <f t="shared" si="1"/>
        <v>40</v>
      </c>
      <c r="F17" s="11">
        <f t="shared" ref="F17:G17" si="21">E17/10</f>
        <v>4</v>
      </c>
      <c r="G17" s="11">
        <f t="shared" si="21"/>
        <v>0.4</v>
      </c>
      <c r="H17" s="11">
        <f t="shared" si="3"/>
        <v>611.88855695272093</v>
      </c>
      <c r="I17" s="11">
        <f t="shared" si="4"/>
        <v>0.19999999999999998</v>
      </c>
      <c r="J17" s="11">
        <f t="shared" si="5"/>
        <v>0.99999999999999989</v>
      </c>
      <c r="K17" s="11">
        <f t="shared" si="6"/>
        <v>1.9999999999999997E-2</v>
      </c>
      <c r="L17" s="11">
        <f t="shared" si="7"/>
        <v>9.9999999999999978E-2</v>
      </c>
      <c r="M17" s="11">
        <v>610.78855695272091</v>
      </c>
      <c r="N17" s="5" t="s">
        <v>41</v>
      </c>
    </row>
    <row r="18" spans="1:14" ht="30" customHeight="1" thickBot="1" x14ac:dyDescent="0.25">
      <c r="A18" s="2" t="s">
        <v>34</v>
      </c>
      <c r="B18" s="3" t="s">
        <v>11</v>
      </c>
      <c r="C18" s="1">
        <v>1501.58</v>
      </c>
      <c r="D18" s="11">
        <f t="shared" si="0"/>
        <v>665.96518334021505</v>
      </c>
      <c r="E18" s="11">
        <f t="shared" si="1"/>
        <v>40</v>
      </c>
      <c r="F18" s="11">
        <f t="shared" ref="F18:G18" si="22">E18/10</f>
        <v>4</v>
      </c>
      <c r="G18" s="11">
        <f t="shared" si="22"/>
        <v>0.4</v>
      </c>
      <c r="H18" s="11">
        <f t="shared" si="3"/>
        <v>621.56518334021507</v>
      </c>
      <c r="I18" s="11">
        <f t="shared" si="4"/>
        <v>0.19999999999999998</v>
      </c>
      <c r="J18" s="11">
        <f t="shared" si="5"/>
        <v>0.99999999999999989</v>
      </c>
      <c r="K18" s="11">
        <f t="shared" si="6"/>
        <v>1.9999999999999997E-2</v>
      </c>
      <c r="L18" s="11">
        <f t="shared" si="7"/>
        <v>9.9999999999999978E-2</v>
      </c>
      <c r="M18" s="11">
        <v>620.46518334021505</v>
      </c>
      <c r="N18" s="5" t="s">
        <v>40</v>
      </c>
    </row>
    <row r="21" spans="1:14" x14ac:dyDescent="0.2">
      <c r="B21" t="s">
        <v>20</v>
      </c>
    </row>
  </sheetData>
  <protectedRanges>
    <protectedRange sqref="A2:A18" name="Standard"/>
  </protectedRanges>
  <sortState xmlns:xlrd2="http://schemas.microsoft.com/office/spreadsheetml/2017/richdata2" ref="A2:N18">
    <sortCondition ref="B2:B18"/>
  </sortState>
  <dataValidations count="1">
    <dataValidation allowBlank="1" showInputMessage="1" showErrorMessage="1" prompt="First 22 letters printed on the tube" sqref="A2:A18" xr:uid="{A32271D2-FD5C-4A48-838E-BDD9C146055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Jing, Michelle Z</dc:creator>
  <cp:lastModifiedBy>Jing, Michelle Z</cp:lastModifiedBy>
  <dcterms:created xsi:type="dcterms:W3CDTF">2026-02-12T18:18:35Z</dcterms:created>
  <dcterms:modified xsi:type="dcterms:W3CDTF">2026-03-16T19:51:53Z</dcterms:modified>
</cp:coreProperties>
</file>